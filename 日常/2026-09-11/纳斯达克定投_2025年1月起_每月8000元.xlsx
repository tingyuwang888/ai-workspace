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投明细" sheetId="1" state="visible" r:id="rId1"/>
    <sheet xmlns:r="http://schemas.openxmlformats.org/officeDocument/2006/relationships" name="汇总指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0.000&quot;倍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10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6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3" customWidth="1" min="8" max="8"/>
    <col width="11" customWidth="1" min="9" max="9"/>
    <col width="14" customWidth="1" min="10" max="10"/>
    <col width="13" customWidth="1" min="11" max="11"/>
    <col width="9" customWidth="1" min="12" max="12"/>
    <col width="13" customWidth="1" min="13" max="13"/>
    <col width="12" customWidth="1" min="14" max="14"/>
  </cols>
  <sheetData>
    <row r="1">
      <c r="A1" s="1" t="inlineStr">
        <is>
          <t>月份</t>
        </is>
      </c>
      <c r="B1" s="1" t="inlineStr">
        <is>
          <t>月初指数</t>
        </is>
      </c>
      <c r="C1" s="1" t="inlineStr">
        <is>
          <t>月末指数</t>
        </is>
      </c>
      <c r="D1" s="1" t="inlineStr">
        <is>
          <t>指数涨跌%</t>
        </is>
      </c>
      <c r="E1" s="1" t="inlineStr">
        <is>
          <t>本月投入(元)</t>
        </is>
      </c>
      <c r="F1" s="1" t="inlineStr">
        <is>
          <t>本月购买份额</t>
        </is>
      </c>
      <c r="G1" s="1" t="inlineStr">
        <is>
          <t>累计份额</t>
        </is>
      </c>
      <c r="H1" s="1" t="inlineStr">
        <is>
          <t>累计投入(元)</t>
        </is>
      </c>
      <c r="I1" s="1" t="inlineStr">
        <is>
          <t>平均成本</t>
        </is>
      </c>
      <c r="J1" s="1" t="inlineStr">
        <is>
          <t>月末市值(元)</t>
        </is>
      </c>
      <c r="K1" s="1" t="inlineStr">
        <is>
          <t>累计收益(元)</t>
        </is>
      </c>
      <c r="L1" s="1" t="inlineStr">
        <is>
          <t>收益率%</t>
        </is>
      </c>
      <c r="M1" s="1" t="inlineStr">
        <is>
          <t>现金流入(元)</t>
        </is>
      </c>
      <c r="N1" s="1" t="inlineStr">
        <is>
          <t>现金流日期</t>
        </is>
      </c>
    </row>
    <row r="2">
      <c r="A2" s="2" t="inlineStr">
        <is>
          <t>2025-01</t>
        </is>
      </c>
      <c r="B2" s="3" t="n">
        <v>20975.62</v>
      </c>
      <c r="C2" s="3" t="n">
        <v>21478.05</v>
      </c>
      <c r="D2" s="4" t="n">
        <v>2.4</v>
      </c>
      <c r="E2" s="3" t="n">
        <v>8000</v>
      </c>
      <c r="F2" s="5">
        <f>E2/B2</f>
        <v/>
      </c>
      <c r="G2" s="5">
        <f>SUM(F2:F2)</f>
        <v/>
      </c>
      <c r="H2" s="3">
        <f>SUM(E2:E2)</f>
        <v/>
      </c>
      <c r="I2" s="3">
        <f>H2/G2</f>
        <v/>
      </c>
      <c r="J2" s="3">
        <f>G2*C2</f>
        <v/>
      </c>
      <c r="K2" s="3">
        <f>J2-H2</f>
        <v/>
      </c>
      <c r="L2" s="6">
        <f>K2/H2</f>
        <v/>
      </c>
      <c r="M2" s="3">
        <f>-E2</f>
        <v/>
      </c>
      <c r="N2" s="7">
        <f>DATE(2025,1,1)</f>
        <v/>
      </c>
    </row>
    <row r="3">
      <c r="A3" s="2" t="inlineStr">
        <is>
          <t>2025-02</t>
        </is>
      </c>
      <c r="B3" s="3" t="n">
        <v>21297.58</v>
      </c>
      <c r="C3" s="3" t="n">
        <v>20884.41</v>
      </c>
      <c r="D3" s="4" t="n">
        <v>-1.94</v>
      </c>
      <c r="E3" s="3" t="n">
        <v>8000</v>
      </c>
      <c r="F3" s="5">
        <f>E3/B3</f>
        <v/>
      </c>
      <c r="G3" s="5">
        <f>G2+F3</f>
        <v/>
      </c>
      <c r="H3" s="3">
        <f>SUM(E2:E3)</f>
        <v/>
      </c>
      <c r="I3" s="3">
        <f>H3/G3</f>
        <v/>
      </c>
      <c r="J3" s="3">
        <f>G3*C3</f>
        <v/>
      </c>
      <c r="K3" s="3">
        <f>J3-H3</f>
        <v/>
      </c>
      <c r="L3" s="6">
        <f>K3/H3</f>
        <v/>
      </c>
      <c r="M3" s="3">
        <f>-E3</f>
        <v/>
      </c>
      <c r="N3" s="7">
        <f>DATE(2025,2,1)</f>
        <v/>
      </c>
    </row>
    <row r="4">
      <c r="A4" s="2" t="inlineStr">
        <is>
          <t>2025-03</t>
        </is>
      </c>
      <c r="B4" s="3" t="n">
        <v>20425.58</v>
      </c>
      <c r="C4" s="3" t="n">
        <v>19278.45</v>
      </c>
      <c r="D4" s="4" t="n">
        <v>-5.62</v>
      </c>
      <c r="E4" s="3" t="n">
        <v>8000</v>
      </c>
      <c r="F4" s="5">
        <f>E4/B4</f>
        <v/>
      </c>
      <c r="G4" s="5">
        <f>G3+F4</f>
        <v/>
      </c>
      <c r="H4" s="3">
        <f>SUM(E2:E4)</f>
        <v/>
      </c>
      <c r="I4" s="3">
        <f>H4/G4</f>
        <v/>
      </c>
      <c r="J4" s="3">
        <f>G4*C4</f>
        <v/>
      </c>
      <c r="K4" s="3">
        <f>J4-H4</f>
        <v/>
      </c>
      <c r="L4" s="6">
        <f>K4/H4</f>
        <v/>
      </c>
      <c r="M4" s="3">
        <f>-E4</f>
        <v/>
      </c>
      <c r="N4" s="7">
        <f>DATE(2025,3,1)</f>
        <v/>
      </c>
    </row>
    <row r="5">
      <c r="A5" s="2" t="inlineStr">
        <is>
          <t>2025-04</t>
        </is>
      </c>
      <c r="B5" s="3" t="n">
        <v>19436.42</v>
      </c>
      <c r="C5" s="3" t="n">
        <v>19571.02</v>
      </c>
      <c r="D5" s="4" t="n">
        <v>0.6899999999999999</v>
      </c>
      <c r="E5" s="3" t="n">
        <v>8000</v>
      </c>
      <c r="F5" s="5">
        <f>E5/B5</f>
        <v/>
      </c>
      <c r="G5" s="5">
        <f>G4+F5</f>
        <v/>
      </c>
      <c r="H5" s="3">
        <f>SUM(E2:E5)</f>
        <v/>
      </c>
      <c r="I5" s="3">
        <f>H5/G5</f>
        <v/>
      </c>
      <c r="J5" s="3">
        <f>G5*C5</f>
        <v/>
      </c>
      <c r="K5" s="3">
        <f>J5-H5</f>
        <v/>
      </c>
      <c r="L5" s="6">
        <f>K5/H5</f>
        <v/>
      </c>
      <c r="M5" s="3">
        <f>-E5</f>
        <v/>
      </c>
      <c r="N5" s="7">
        <f>DATE(2025,4,1)</f>
        <v/>
      </c>
    </row>
    <row r="6">
      <c r="A6" s="2" t="inlineStr">
        <is>
          <t>2025-05</t>
        </is>
      </c>
      <c r="B6" s="3" t="n">
        <v>19786.71</v>
      </c>
      <c r="C6" s="3" t="n">
        <v>21340.99</v>
      </c>
      <c r="D6" s="4" t="n">
        <v>7.86</v>
      </c>
      <c r="E6" s="3" t="n">
        <v>8000</v>
      </c>
      <c r="F6" s="5">
        <f>E6/B6</f>
        <v/>
      </c>
      <c r="G6" s="5">
        <f>G5+F6</f>
        <v/>
      </c>
      <c r="H6" s="3">
        <f>SUM(E2:E6)</f>
        <v/>
      </c>
      <c r="I6" s="3">
        <f>H6/G6</f>
        <v/>
      </c>
      <c r="J6" s="3">
        <f>G6*C6</f>
        <v/>
      </c>
      <c r="K6" s="3">
        <f>J6-H6</f>
        <v/>
      </c>
      <c r="L6" s="6">
        <f>K6/H6</f>
        <v/>
      </c>
      <c r="M6" s="3">
        <f>-E6</f>
        <v/>
      </c>
      <c r="N6" s="7">
        <f>DATE(2025,5,1)</f>
        <v/>
      </c>
    </row>
    <row r="7">
      <c r="A7" s="2" t="inlineStr">
        <is>
          <t>2025-06</t>
        </is>
      </c>
      <c r="B7" s="3" t="n">
        <v>21491.75</v>
      </c>
      <c r="C7" s="3" t="n">
        <v>22679.01</v>
      </c>
      <c r="D7" s="4" t="n">
        <v>5.52</v>
      </c>
      <c r="E7" s="3" t="n">
        <v>8000</v>
      </c>
      <c r="F7" s="5">
        <f>E7/B7</f>
        <v/>
      </c>
      <c r="G7" s="5">
        <f>G6+F7</f>
        <v/>
      </c>
      <c r="H7" s="3">
        <f>SUM(E2:E7)</f>
        <v/>
      </c>
      <c r="I7" s="3">
        <f>H7/G7</f>
        <v/>
      </c>
      <c r="J7" s="3">
        <f>G7*C7</f>
        <v/>
      </c>
      <c r="K7" s="3">
        <f>J7-H7</f>
        <v/>
      </c>
      <c r="L7" s="6">
        <f>K7/H7</f>
        <v/>
      </c>
      <c r="M7" s="3">
        <f>-E7</f>
        <v/>
      </c>
      <c r="N7" s="7">
        <f>DATE(2025,6,1)</f>
        <v/>
      </c>
    </row>
    <row r="8">
      <c r="A8" s="2" t="inlineStr">
        <is>
          <t>2025-07</t>
        </is>
      </c>
      <c r="B8" s="3" t="n">
        <v>22478.14</v>
      </c>
      <c r="C8" s="3" t="n">
        <v>23218.12</v>
      </c>
      <c r="D8" s="4" t="n">
        <v>3.29</v>
      </c>
      <c r="E8" s="3" t="n">
        <v>8000</v>
      </c>
      <c r="F8" s="5">
        <f>E8/B8</f>
        <v/>
      </c>
      <c r="G8" s="5">
        <f>G7+F8</f>
        <v/>
      </c>
      <c r="H8" s="3">
        <f>SUM(E2:E8)</f>
        <v/>
      </c>
      <c r="I8" s="3">
        <f>H8/G8</f>
        <v/>
      </c>
      <c r="J8" s="3">
        <f>G8*C8</f>
        <v/>
      </c>
      <c r="K8" s="3">
        <f>J8-H8</f>
        <v/>
      </c>
      <c r="L8" s="6">
        <f>K8/H8</f>
        <v/>
      </c>
      <c r="M8" s="3">
        <f>-E8</f>
        <v/>
      </c>
      <c r="N8" s="7">
        <f>DATE(2025,7,1)</f>
        <v/>
      </c>
    </row>
    <row r="9">
      <c r="A9" s="2" t="inlineStr">
        <is>
          <t>2025-08</t>
        </is>
      </c>
      <c r="B9" s="3" t="n">
        <v>22763.31</v>
      </c>
      <c r="C9" s="3" t="n">
        <v>23415.42</v>
      </c>
      <c r="D9" s="4" t="n">
        <v>2.86</v>
      </c>
      <c r="E9" s="3" t="n">
        <v>8000</v>
      </c>
      <c r="F9" s="5">
        <f>E9/B9</f>
        <v/>
      </c>
      <c r="G9" s="5">
        <f>G8+F9</f>
        <v/>
      </c>
      <c r="H9" s="3">
        <f>SUM(E2:E9)</f>
        <v/>
      </c>
      <c r="I9" s="3">
        <f>H9/G9</f>
        <v/>
      </c>
      <c r="J9" s="3">
        <f>G9*C9</f>
        <v/>
      </c>
      <c r="K9" s="3">
        <f>J9-H9</f>
        <v/>
      </c>
      <c r="L9" s="6">
        <f>K9/H9</f>
        <v/>
      </c>
      <c r="M9" s="3">
        <f>-E9</f>
        <v/>
      </c>
      <c r="N9" s="7">
        <f>DATE(2025,8,1)</f>
        <v/>
      </c>
    </row>
    <row r="10">
      <c r="A10" s="2" t="inlineStr">
        <is>
          <t>2025-09</t>
        </is>
      </c>
      <c r="B10" s="3" t="n">
        <v>23231.11</v>
      </c>
      <c r="C10" s="3" t="n">
        <v>24679.99</v>
      </c>
      <c r="D10" s="4" t="n">
        <v>6.24</v>
      </c>
      <c r="E10" s="3" t="n">
        <v>8000</v>
      </c>
      <c r="F10" s="5">
        <f>E10/B10</f>
        <v/>
      </c>
      <c r="G10" s="5">
        <f>G9+F10</f>
        <v/>
      </c>
      <c r="H10" s="3">
        <f>SUM(E2:E10)</f>
        <v/>
      </c>
      <c r="I10" s="3">
        <f>H10/G10</f>
        <v/>
      </c>
      <c r="J10" s="3">
        <f>G10*C10</f>
        <v/>
      </c>
      <c r="K10" s="3">
        <f>J10-H10</f>
        <v/>
      </c>
      <c r="L10" s="6">
        <f>K10/H10</f>
        <v/>
      </c>
      <c r="M10" s="3">
        <f>-E10</f>
        <v/>
      </c>
      <c r="N10" s="7">
        <f>DATE(2025,9,1)</f>
        <v/>
      </c>
    </row>
    <row r="11">
      <c r="A11" s="2" t="inlineStr">
        <is>
          <t>2025-10</t>
        </is>
      </c>
      <c r="B11" s="3" t="n">
        <v>24800.86</v>
      </c>
      <c r="C11" s="3" t="n">
        <v>25858.13</v>
      </c>
      <c r="D11" s="4" t="n">
        <v>4.26</v>
      </c>
      <c r="E11" s="3" t="n">
        <v>8000</v>
      </c>
      <c r="F11" s="5">
        <f>E11/B11</f>
        <v/>
      </c>
      <c r="G11" s="5">
        <f>G10+F11</f>
        <v/>
      </c>
      <c r="H11" s="3">
        <f>SUM(E2:E11)</f>
        <v/>
      </c>
      <c r="I11" s="3">
        <f>H11/G11</f>
        <v/>
      </c>
      <c r="J11" s="3">
        <f>G11*C11</f>
        <v/>
      </c>
      <c r="K11" s="3">
        <f>J11-H11</f>
        <v/>
      </c>
      <c r="L11" s="6">
        <f>K11/H11</f>
        <v/>
      </c>
      <c r="M11" s="3">
        <f>-E11</f>
        <v/>
      </c>
      <c r="N11" s="7">
        <f>DATE(2025,10,1)</f>
        <v/>
      </c>
    </row>
    <row r="12">
      <c r="A12" s="2" t="inlineStr">
        <is>
          <t>2025-11</t>
        </is>
      </c>
      <c r="B12" s="3" t="n">
        <v>25972.94</v>
      </c>
      <c r="C12" s="3" t="n">
        <v>25434.89</v>
      </c>
      <c r="D12" s="4" t="n">
        <v>-2.07</v>
      </c>
      <c r="E12" s="3" t="n">
        <v>8000</v>
      </c>
      <c r="F12" s="5">
        <f>E12/B12</f>
        <v/>
      </c>
      <c r="G12" s="5">
        <f>G11+F12</f>
        <v/>
      </c>
      <c r="H12" s="3">
        <f>SUM(E2:E12)</f>
        <v/>
      </c>
      <c r="I12" s="3">
        <f>H12/G12</f>
        <v/>
      </c>
      <c r="J12" s="3">
        <f>G12*C12</f>
        <v/>
      </c>
      <c r="K12" s="3">
        <f>J12-H12</f>
        <v/>
      </c>
      <c r="L12" s="6">
        <f>K12/H12</f>
        <v/>
      </c>
      <c r="M12" s="3">
        <f>-E12</f>
        <v/>
      </c>
      <c r="N12" s="7">
        <f>DATE(2025,11,1)</f>
        <v/>
      </c>
    </row>
    <row r="13">
      <c r="A13" s="2" t="inlineStr">
        <is>
          <t>2025-12</t>
        </is>
      </c>
      <c r="B13" s="3" t="n">
        <v>25342.85</v>
      </c>
      <c r="C13" s="3" t="n">
        <v>25249.85</v>
      </c>
      <c r="D13" s="4" t="n">
        <v>-0.37</v>
      </c>
      <c r="E13" s="3" t="n">
        <v>8000</v>
      </c>
      <c r="F13" s="5">
        <f>E13/B13</f>
        <v/>
      </c>
      <c r="G13" s="5">
        <f>G12+F13</f>
        <v/>
      </c>
      <c r="H13" s="3">
        <f>SUM(E2:E13)</f>
        <v/>
      </c>
      <c r="I13" s="3">
        <f>H13/G13</f>
        <v/>
      </c>
      <c r="J13" s="3">
        <f>G13*C13</f>
        <v/>
      </c>
      <c r="K13" s="3">
        <f>J13-H13</f>
        <v/>
      </c>
      <c r="L13" s="6">
        <f>K13/H13</f>
        <v/>
      </c>
      <c r="M13" s="3">
        <f>-E13</f>
        <v/>
      </c>
      <c r="N13" s="7">
        <f>DATE(2025,12,1)</f>
        <v/>
      </c>
    </row>
    <row r="14">
      <c r="A14" s="2" t="inlineStr">
        <is>
          <t>2026-01</t>
        </is>
      </c>
      <c r="B14" s="3" t="n">
        <v>25206.17</v>
      </c>
      <c r="C14" s="3" t="n">
        <v>25552.39</v>
      </c>
      <c r="D14" s="4" t="n">
        <v>1.37</v>
      </c>
      <c r="E14" s="3" t="n">
        <v>8000</v>
      </c>
      <c r="F14" s="5">
        <f>E14/B14</f>
        <v/>
      </c>
      <c r="G14" s="5">
        <f>G13+F14</f>
        <v/>
      </c>
      <c r="H14" s="3">
        <f>SUM(E2:E14)</f>
        <v/>
      </c>
      <c r="I14" s="3">
        <f>H14/G14</f>
        <v/>
      </c>
      <c r="J14" s="3">
        <f>G14*C14</f>
        <v/>
      </c>
      <c r="K14" s="3">
        <f>J14-H14</f>
        <v/>
      </c>
      <c r="L14" s="6">
        <f>K14/H14</f>
        <v/>
      </c>
      <c r="M14" s="3">
        <f>-E14</f>
        <v/>
      </c>
      <c r="N14" s="7">
        <f>DATE(2026,1,1)</f>
        <v/>
      </c>
    </row>
    <row r="15">
      <c r="A15" s="2" t="inlineStr">
        <is>
          <t>2026-02</t>
        </is>
      </c>
      <c r="B15" s="3" t="n">
        <v>25738.61</v>
      </c>
      <c r="C15" s="3" t="n">
        <v>24960.04</v>
      </c>
      <c r="D15" s="4" t="n">
        <v>-3.02</v>
      </c>
      <c r="E15" s="3" t="n">
        <v>8000</v>
      </c>
      <c r="F15" s="5">
        <f>E15/B15</f>
        <v/>
      </c>
      <c r="G15" s="5">
        <f>G14+F15</f>
        <v/>
      </c>
      <c r="H15" s="3">
        <f>SUM(E2:E15)</f>
        <v/>
      </c>
      <c r="I15" s="3">
        <f>H15/G15</f>
        <v/>
      </c>
      <c r="J15" s="3">
        <f>G15*C15</f>
        <v/>
      </c>
      <c r="K15" s="3">
        <f>J15-H15</f>
        <v/>
      </c>
      <c r="L15" s="6">
        <f>K15/H15</f>
        <v/>
      </c>
      <c r="M15" s="3">
        <f>-E15</f>
        <v/>
      </c>
      <c r="N15" s="7">
        <f>DATE(2026,2,1)</f>
        <v/>
      </c>
    </row>
    <row r="16">
      <c r="A16" s="2" t="inlineStr">
        <is>
          <t>2026-03</t>
        </is>
      </c>
      <c r="B16" s="3" t="n">
        <v>24992.6</v>
      </c>
      <c r="C16" s="3" t="n">
        <v>23740.19</v>
      </c>
      <c r="D16" s="4" t="n">
        <v>-5.01</v>
      </c>
      <c r="E16" s="3" t="n">
        <v>8000</v>
      </c>
      <c r="F16" s="5">
        <f>E16/B16</f>
        <v/>
      </c>
      <c r="G16" s="5">
        <f>G15+F16</f>
        <v/>
      </c>
      <c r="H16" s="3">
        <f>SUM(E2:E16)</f>
        <v/>
      </c>
      <c r="I16" s="3">
        <f>H16/G16</f>
        <v/>
      </c>
      <c r="J16" s="3">
        <f>G16*C16</f>
        <v/>
      </c>
      <c r="K16" s="3">
        <f>J16-H16</f>
        <v/>
      </c>
      <c r="L16" s="6">
        <f>K16/H16</f>
        <v/>
      </c>
      <c r="M16" s="3">
        <f>-E16</f>
        <v/>
      </c>
      <c r="N16" s="7">
        <f>DATE(2026,3,1)</f>
        <v/>
      </c>
    </row>
    <row r="17">
      <c r="A17" s="2" t="inlineStr">
        <is>
          <t>2026-04</t>
        </is>
      </c>
      <c r="B17" s="3" t="n">
        <v>24019.99</v>
      </c>
      <c r="C17" s="3" t="n">
        <v>27452.12</v>
      </c>
      <c r="D17" s="4" t="n">
        <v>14.29</v>
      </c>
      <c r="E17" s="3" t="n">
        <v>8000</v>
      </c>
      <c r="F17" s="5">
        <f>E17/B17</f>
        <v/>
      </c>
      <c r="G17" s="5">
        <f>G16+F17</f>
        <v/>
      </c>
      <c r="H17" s="3">
        <f>SUM(E2:E17)</f>
        <v/>
      </c>
      <c r="I17" s="3">
        <f>H17/G17</f>
        <v/>
      </c>
      <c r="J17" s="3">
        <f>G17*C17</f>
        <v/>
      </c>
      <c r="K17" s="3">
        <f>J17-H17</f>
        <v/>
      </c>
      <c r="L17" s="6">
        <f>K17/H17</f>
        <v/>
      </c>
      <c r="M17" s="3">
        <f>-E17</f>
        <v/>
      </c>
      <c r="N17" s="7">
        <f>DATE(2026,4,1)</f>
        <v/>
      </c>
    </row>
    <row r="18">
      <c r="A18" s="2" t="inlineStr">
        <is>
          <t>2026-05</t>
        </is>
      </c>
      <c r="B18" s="3" t="n">
        <v>27710.36</v>
      </c>
      <c r="C18" s="3" t="n">
        <v>29234.99</v>
      </c>
      <c r="D18" s="4" t="n">
        <v>5.5</v>
      </c>
      <c r="E18" s="3" t="n">
        <v>8000</v>
      </c>
      <c r="F18" s="5">
        <f>E18/B18</f>
        <v/>
      </c>
      <c r="G18" s="5">
        <f>G17+F18</f>
        <v/>
      </c>
      <c r="H18" s="3">
        <f>SUM(E2:E18)</f>
        <v/>
      </c>
      <c r="I18" s="3">
        <f>H18/G18</f>
        <v/>
      </c>
      <c r="J18" s="3">
        <f>G18*C18</f>
        <v/>
      </c>
      <c r="K18" s="3">
        <f>J18-H18</f>
        <v/>
      </c>
      <c r="L18" s="6">
        <f>K18/H18</f>
        <v/>
      </c>
      <c r="M18" s="3">
        <f>-E18</f>
        <v/>
      </c>
      <c r="N18" s="7">
        <f>DATE(2026,5,1)</f>
        <v/>
      </c>
    </row>
    <row r="19">
      <c r="A19" s="2" t="inlineStr">
        <is>
          <t>2026-06</t>
        </is>
      </c>
      <c r="B19" s="3" t="n">
        <v>30295.25</v>
      </c>
      <c r="C19" s="3" t="n">
        <v>30276.35</v>
      </c>
      <c r="D19" s="4" t="n">
        <v>-0.06</v>
      </c>
      <c r="E19" s="3" t="n">
        <v>8000</v>
      </c>
      <c r="F19" s="5">
        <f>E19/B19</f>
        <v/>
      </c>
      <c r="G19" s="5">
        <f>G18+F19</f>
        <v/>
      </c>
      <c r="H19" s="3">
        <f>SUM(E2:E19)</f>
        <v/>
      </c>
      <c r="I19" s="3">
        <f>H19/G19</f>
        <v/>
      </c>
      <c r="J19" s="3">
        <f>G19*C19</f>
        <v/>
      </c>
      <c r="K19" s="3">
        <f>J19-H19</f>
        <v/>
      </c>
      <c r="L19" s="6">
        <f>K19/H19</f>
        <v/>
      </c>
      <c r="M19" s="3">
        <f>-E19</f>
        <v/>
      </c>
      <c r="N19" s="7">
        <f>DATE(2026,6,1)</f>
        <v/>
      </c>
    </row>
    <row r="20">
      <c r="A20" s="2" t="inlineStr">
        <is>
          <t>2026-07</t>
        </is>
      </c>
      <c r="B20" s="3" t="n">
        <v>29914.28</v>
      </c>
      <c r="C20" s="3" t="n">
        <v>28454.81</v>
      </c>
      <c r="D20" s="4" t="n">
        <v>-4.88</v>
      </c>
      <c r="E20" s="3" t="n">
        <v>8000</v>
      </c>
      <c r="F20" s="5">
        <f>E20/B20</f>
        <v/>
      </c>
      <c r="G20" s="5">
        <f>G19+F20</f>
        <v/>
      </c>
      <c r="H20" s="3">
        <f>SUM(E2:E20)</f>
        <v/>
      </c>
      <c r="I20" s="3">
        <f>H20/G20</f>
        <v/>
      </c>
      <c r="J20" s="3">
        <f>G20*C20</f>
        <v/>
      </c>
      <c r="K20" s="3">
        <f>J20-H20</f>
        <v/>
      </c>
      <c r="L20" s="6">
        <f>K20/H20</f>
        <v/>
      </c>
      <c r="M20" s="3">
        <f>-E20</f>
        <v/>
      </c>
      <c r="N20" s="7">
        <f>DATE(2026,7,1)</f>
        <v/>
      </c>
    </row>
    <row r="21">
      <c r="A21" s="2" t="n"/>
      <c r="B21" s="3" t="n"/>
      <c r="C21" s="3" t="n"/>
      <c r="D21" s="4" t="n"/>
      <c r="E21" s="3" t="n"/>
      <c r="F21" s="5" t="n"/>
      <c r="G21" s="5" t="n"/>
      <c r="H21" s="3" t="n"/>
      <c r="I21" s="3" t="n"/>
      <c r="J21" s="3" t="n"/>
      <c r="K21" s="3" t="n"/>
      <c r="L21" s="6" t="n"/>
      <c r="M21" s="3">
        <f>J20</f>
        <v/>
      </c>
      <c r="N21" s="7">
        <f>DATE(2026,7,31)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8" t="inlineStr">
        <is>
          <t>纳斯达克定投汇总（2025年1月起，每月8000元）</t>
        </is>
      </c>
    </row>
    <row r="3">
      <c r="A3" s="9" t="inlineStr">
        <is>
          <t>指标</t>
        </is>
      </c>
      <c r="B3" s="9" t="inlineStr">
        <is>
          <t>数值</t>
        </is>
      </c>
    </row>
    <row r="4">
      <c r="A4" s="10" t="inlineStr">
        <is>
          <t>投资起始月份</t>
        </is>
      </c>
      <c r="B4" s="10" t="inlineStr">
        <is>
          <t>2025-01</t>
        </is>
      </c>
    </row>
    <row r="5">
      <c r="A5" s="10" t="inlineStr">
        <is>
          <t>投资截止月份</t>
        </is>
      </c>
      <c r="B5" s="10" t="inlineStr">
        <is>
          <t>定投明细!A20</t>
        </is>
      </c>
    </row>
    <row r="6">
      <c r="A6" s="10" t="inlineStr">
        <is>
          <t>定投月数</t>
        </is>
      </c>
      <c r="B6" s="11">
        <f>19</f>
        <v/>
      </c>
    </row>
    <row r="7">
      <c r="A7" s="10" t="inlineStr">
        <is>
          <t>月定投金额(元)</t>
        </is>
      </c>
      <c r="B7" s="12">
        <f>8000.0</f>
        <v/>
      </c>
    </row>
    <row r="8">
      <c r="A8" s="10" t="inlineStr">
        <is>
          <t>累计投入本金(元)</t>
        </is>
      </c>
      <c r="B8" s="13">
        <f>定投明细!H20</f>
        <v/>
      </c>
    </row>
    <row r="9">
      <c r="A9" s="10" t="inlineStr">
        <is>
          <t>累计持有份额</t>
        </is>
      </c>
      <c r="B9" s="14">
        <f>定投明细!G20</f>
        <v/>
      </c>
    </row>
    <row r="10">
      <c r="A10" s="10" t="inlineStr">
        <is>
          <t>平均持仓成本(指数点)</t>
        </is>
      </c>
      <c r="B10" s="13">
        <f>定投明细!I20</f>
        <v/>
      </c>
    </row>
    <row r="11">
      <c r="A11" s="10" t="inlineStr">
        <is>
          <t>期末指数(月末)</t>
        </is>
      </c>
      <c r="B11" s="13">
        <f>定投明细!C20</f>
        <v/>
      </c>
    </row>
    <row r="12">
      <c r="A12" s="10" t="inlineStr">
        <is>
          <t>最终市值(元)</t>
        </is>
      </c>
      <c r="B12" s="13">
        <f>定投明细!J20</f>
        <v/>
      </c>
    </row>
    <row r="13">
      <c r="A13" s="10" t="inlineStr">
        <is>
          <t>累计收益(元)</t>
        </is>
      </c>
      <c r="B13" s="13">
        <f>定投明细!K20</f>
        <v/>
      </c>
    </row>
    <row r="14">
      <c r="A14" s="10" t="inlineStr">
        <is>
          <t>总收益率</t>
        </is>
      </c>
      <c r="B14" s="15">
        <f>定投明细!L20</f>
        <v/>
      </c>
    </row>
    <row r="15">
      <c r="A15" s="10" t="inlineStr">
        <is>
          <t>年化收益率-简单几何</t>
        </is>
      </c>
      <c r="B15" s="15">
        <f>(1+定投明细!L20)^(12/19)-1</f>
        <v/>
      </c>
    </row>
    <row r="16">
      <c r="A16" s="10" t="inlineStr">
        <is>
          <t>年化收益率-XIRR资金加权</t>
        </is>
      </c>
      <c r="B16" s="15">
        <f>XIRR(定投明细!M2:M21,定投明细!N2:N21)</f>
        <v/>
      </c>
    </row>
    <row r="17">
      <c r="A17" s="10" t="inlineStr">
        <is>
          <t>市值/本金倍数</t>
        </is>
      </c>
      <c r="B17" s="16">
        <f>定投明细!J20/定投明细!H20</f>
        <v/>
      </c>
    </row>
    <row r="18">
      <c r="A18" s="10" t="inlineStr">
        <is>
          <t>指数区间涨幅</t>
        </is>
      </c>
      <c r="B18" s="15">
        <f>定投明细!C20/定投明细!B2-1</f>
        <v/>
      </c>
    </row>
    <row r="19">
      <c r="A19" s="10" t="inlineStr">
        <is>
          <t>指数上涨月数</t>
        </is>
      </c>
      <c r="B19" s="11">
        <f>COUNTIF(定投明细!D2:D20,"&gt;0")</f>
        <v/>
      </c>
    </row>
    <row r="20">
      <c r="A20" s="10" t="inlineStr">
        <is>
          <t>指数下跌月数</t>
        </is>
      </c>
      <c r="B20" s="11">
        <f>COUNTIF(定投明细!D2:D20,"&lt;0")</f>
        <v/>
      </c>
    </row>
    <row r="21">
      <c r="A21" s="10" t="inlineStr">
        <is>
          <t>最大单月涨幅</t>
        </is>
      </c>
      <c r="B21" s="17">
        <f>MAX(定投明细!D2:D20)</f>
        <v/>
      </c>
    </row>
    <row r="22">
      <c r="A22" s="10" t="inlineStr">
        <is>
          <t>最大单月跌幅</t>
        </is>
      </c>
      <c r="B22" s="17">
        <f>MIN(定投明细!D2:D20)</f>
        <v/>
      </c>
    </row>
    <row r="23">
      <c r="A23" s="10" t="inlineStr">
        <is>
          <t>最高累计收益率</t>
        </is>
      </c>
      <c r="B23" s="15">
        <f>MAX(定投明细!L2:L20)</f>
        <v/>
      </c>
    </row>
    <row r="24">
      <c r="A24" s="10" t="inlineStr">
        <is>
          <t>最低累计收益率</t>
        </is>
      </c>
      <c r="B24" s="15">
        <f>MIN(定投明细!L2:L20)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2026-09-11T08:10:24Z</dcterms:created>
  <dcterms:modified xmlns:dcterms="http://purl.org/dc/terms/" xmlns:xsi="http://www.w3.org/2001/XMLSchema-instance" xsi:type="dcterms:W3CDTF">2026-09-11T08:10:24Z</dcterms:modified>
</cp:coreProperties>
</file>