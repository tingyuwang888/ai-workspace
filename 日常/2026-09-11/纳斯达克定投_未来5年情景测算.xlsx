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5年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倍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C00000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2" borderId="0" pivotButton="0" quotePrefix="0" xfId="0"/>
    <xf numFmtId="3" fontId="5" fillId="2" borderId="0" pivotButton="0" quotePrefix="0" xfId="0"/>
    <xf numFmtId="1" fontId="5" fillId="2" borderId="0" pivotButton="0" quotePrefix="0" xfId="0"/>
    <xf numFmtId="3" fontId="4" fillId="0" borderId="0" pivotButton="0" quotePrefix="0" xfId="0"/>
    <xf numFmtId="0" fontId="6" fillId="3" borderId="1" applyAlignment="1" pivotButton="0" quotePrefix="0" xfId="0">
      <alignment horizontal="center"/>
    </xf>
    <xf numFmtId="9" fontId="5" fillId="2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纳斯达克定投·未来5年情景测算（假设每月8000元持续投入）</t>
        </is>
      </c>
    </row>
    <row r="2">
      <c r="A2" s="2" t="inlineStr">
        <is>
          <t>提示：未来收益无法预测，以下为不同年化假设下的推算，非投资建议。蓝色单元格可自行修改。</t>
        </is>
      </c>
    </row>
    <row r="4">
      <c r="A4" s="3" t="inlineStr">
        <is>
          <t>基础假设</t>
        </is>
      </c>
    </row>
    <row r="5">
      <c r="A5" s="4" t="inlineStr">
        <is>
          <t>现有市值(2026-07末,元)</t>
        </is>
      </c>
      <c r="B5" s="5" t="n">
        <v>183145.1</v>
      </c>
    </row>
    <row r="6">
      <c r="A6" s="4" t="inlineStr">
        <is>
          <t>已投本金(元)</t>
        </is>
      </c>
      <c r="B6" s="6" t="n">
        <v>152000</v>
      </c>
    </row>
    <row r="7">
      <c r="A7" s="4" t="inlineStr">
        <is>
          <t>每月定投(元)</t>
        </is>
      </c>
      <c r="B7" s="6" t="n">
        <v>8000</v>
      </c>
    </row>
    <row r="8">
      <c r="A8" s="4" t="inlineStr">
        <is>
          <t>未来投入月数</t>
        </is>
      </c>
      <c r="B8" s="7" t="n">
        <v>60</v>
      </c>
    </row>
    <row r="9">
      <c r="A9" s="4" t="inlineStr">
        <is>
          <t>总投入本金(元)</t>
        </is>
      </c>
      <c r="B9" s="8">
        <f>B6+B7*B8</f>
        <v/>
      </c>
    </row>
    <row r="11">
      <c r="A11" s="9" t="inlineStr">
        <is>
          <t>年化假设</t>
        </is>
      </c>
      <c r="B11" s="9" t="inlineStr">
        <is>
          <t>期末总资产</t>
        </is>
      </c>
      <c r="C11" s="9" t="inlineStr">
        <is>
          <t>累计收益</t>
        </is>
      </c>
      <c r="D11" s="9" t="inlineStr">
        <is>
          <t>总收益率</t>
        </is>
      </c>
      <c r="E11" s="9" t="inlineStr">
        <is>
          <t>财富倍数</t>
        </is>
      </c>
    </row>
    <row r="12">
      <c r="A12" s="10" t="n">
        <v>-0.05</v>
      </c>
      <c r="B12" s="11">
        <f>ROUND($B$5*(1+A12)^($B$8/12)+IF(A12=0,$B$7*$B$8,$B$7*((1+A12)^($B$8/12)-1)/((1+A12)^(1/12)-1)),2)</f>
        <v/>
      </c>
      <c r="C12" s="11">
        <f>B12-$B$9</f>
        <v/>
      </c>
      <c r="D12" s="12">
        <f>C12/$B$9</f>
        <v/>
      </c>
      <c r="E12" s="13">
        <f>B12/$B$9</f>
        <v/>
      </c>
    </row>
    <row r="13">
      <c r="A13" s="10" t="n">
        <v>0</v>
      </c>
      <c r="B13" s="11">
        <f>ROUND($B$5*(1+A13)^($B$8/12)+IF(A13=0,$B$7*$B$8,$B$7*((1+A13)^($B$8/12)-1)/((1+A13)^(1/12)-1)),2)</f>
        <v/>
      </c>
      <c r="C13" s="11">
        <f>B13-$B$9</f>
        <v/>
      </c>
      <c r="D13" s="12">
        <f>C13/$B$9</f>
        <v/>
      </c>
      <c r="E13" s="13">
        <f>B13/$B$9</f>
        <v/>
      </c>
    </row>
    <row r="14">
      <c r="A14" s="10" t="n">
        <v>0.05</v>
      </c>
      <c r="B14" s="11">
        <f>ROUND($B$5*(1+A14)^($B$8/12)+IF(A14=0,$B$7*$B$8,$B$7*((1+A14)^($B$8/12)-1)/((1+A14)^(1/12)-1)),2)</f>
        <v/>
      </c>
      <c r="C14" s="11">
        <f>B14-$B$9</f>
        <v/>
      </c>
      <c r="D14" s="12">
        <f>C14/$B$9</f>
        <v/>
      </c>
      <c r="E14" s="13">
        <f>B14/$B$9</f>
        <v/>
      </c>
    </row>
    <row r="15">
      <c r="A15" s="10" t="n">
        <v>0.1</v>
      </c>
      <c r="B15" s="11">
        <f>ROUND($B$5*(1+A15)^($B$8/12)+IF(A15=0,$B$7*$B$8,$B$7*((1+A15)^($B$8/12)-1)/((1+A15)^(1/12)-1)),2)</f>
        <v/>
      </c>
      <c r="C15" s="11">
        <f>B15-$B$9</f>
        <v/>
      </c>
      <c r="D15" s="12">
        <f>C15/$B$9</f>
        <v/>
      </c>
      <c r="E15" s="13">
        <f>B15/$B$9</f>
        <v/>
      </c>
    </row>
    <row r="16">
      <c r="A16" s="10" t="n">
        <v>0.15</v>
      </c>
      <c r="B16" s="11">
        <f>ROUND($B$5*(1+A16)^($B$8/12)+IF(A16=0,$B$7*$B$8,$B$7*((1+A16)^($B$8/12)-1)/((1+A16)^(1/12)-1)),2)</f>
        <v/>
      </c>
      <c r="C16" s="11">
        <f>B16-$B$9</f>
        <v/>
      </c>
      <c r="D16" s="12">
        <f>C16/$B$9</f>
        <v/>
      </c>
      <c r="E16" s="13">
        <f>B16/$B$9</f>
        <v/>
      </c>
    </row>
    <row r="17">
      <c r="A17" s="10" t="n">
        <v>0.2</v>
      </c>
      <c r="B17" s="11">
        <f>ROUND($B$5*(1+A17)^($B$8/12)+IF(A17=0,$B$7*$B$8,$B$7*((1+A17)^($B$8/12)-1)/((1+A17)^(1/12)-1)),2)</f>
        <v/>
      </c>
      <c r="C17" s="11">
        <f>B17-$B$9</f>
        <v/>
      </c>
      <c r="D17" s="12">
        <f>C17/$B$9</f>
        <v/>
      </c>
      <c r="E17" s="13">
        <f>B17/$B$9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2026-09-11T08:13:37Z</dcterms:created>
  <dcterms:modified xmlns:dcterms="http://purl.org/dc/terms/" xmlns:xsi="http://www.w3.org/2001/XMLSchema-instance" xsi:type="dcterms:W3CDTF">2026-09-11T08:13:37Z</dcterms:modified>
</cp:coreProperties>
</file>